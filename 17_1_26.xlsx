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1581474fb3674/Máy tính/Subject/XSTK/"/>
    </mc:Choice>
  </mc:AlternateContent>
  <xr:revisionPtr revIDLastSave="0" documentId="8_{20D728AA-3C90-4662-BA28-96856FE6F896}" xr6:coauthVersionLast="45" xr6:coauthVersionMax="45" xr10:uidLastSave="{00000000-0000-0000-0000-000000000000}"/>
  <bookViews>
    <workbookView xWindow="-108" yWindow="-108" windowWidth="23256" windowHeight="12456" activeTab="1" xr2:uid="{6B603C49-05BA-4B1F-90E4-D917B5A145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9" i="2" l="1"/>
  <c r="B18" i="2"/>
  <c r="B17" i="2"/>
  <c r="B15" i="2"/>
  <c r="B14" i="2"/>
  <c r="H12" i="2"/>
  <c r="G12" i="2"/>
  <c r="K3" i="2"/>
  <c r="K4" i="2"/>
  <c r="K5" i="2"/>
  <c r="K6" i="2"/>
  <c r="K7" i="2"/>
  <c r="K8" i="2"/>
  <c r="K9" i="2"/>
  <c r="K10" i="2"/>
  <c r="K11" i="2"/>
  <c r="K2" i="2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C13" i="2"/>
  <c r="B13" i="2"/>
  <c r="C12" i="2"/>
  <c r="B12" i="2"/>
  <c r="B15" i="1"/>
  <c r="B14" i="1"/>
  <c r="B13" i="1"/>
  <c r="F3" i="1"/>
  <c r="F4" i="1"/>
  <c r="F5" i="1"/>
  <c r="F6" i="1"/>
  <c r="F2" i="1"/>
  <c r="I3" i="1"/>
  <c r="J3" i="1" s="1"/>
  <c r="K3" i="1" s="1"/>
  <c r="I4" i="1"/>
  <c r="J4" i="1" s="1"/>
  <c r="K4" i="1" s="1"/>
  <c r="I5" i="1"/>
  <c r="J5" i="1" s="1"/>
  <c r="K5" i="1" s="1"/>
  <c r="I6" i="1"/>
  <c r="J6" i="1" s="1"/>
  <c r="K6" i="1" s="1"/>
  <c r="I2" i="1"/>
  <c r="J2" i="1" s="1"/>
  <c r="K2" i="1" s="1"/>
  <c r="B12" i="1" s="1"/>
  <c r="H3" i="1"/>
  <c r="H4" i="1"/>
  <c r="E3" i="1"/>
  <c r="E4" i="1"/>
  <c r="E6" i="1"/>
  <c r="E2" i="1"/>
  <c r="D3" i="1"/>
  <c r="G3" i="1" s="1"/>
  <c r="D4" i="1"/>
  <c r="G4" i="1" s="1"/>
  <c r="D5" i="1"/>
  <c r="H5" i="1" s="1"/>
  <c r="C8" i="1"/>
  <c r="B8" i="1"/>
  <c r="D6" i="1" s="1"/>
  <c r="C7" i="1"/>
  <c r="B7" i="1"/>
  <c r="H6" i="1" l="1"/>
  <c r="G6" i="1"/>
  <c r="D2" i="1"/>
  <c r="E5" i="1"/>
  <c r="G5" i="1" s="1"/>
  <c r="G2" i="1" l="1"/>
  <c r="G7" i="1" s="1"/>
  <c r="H2" i="1"/>
  <c r="H7" i="1" s="1"/>
  <c r="B9" i="1" l="1"/>
  <c r="B10" i="1" s="1"/>
</calcChain>
</file>

<file path=xl/sharedStrings.xml><?xml version="1.0" encoding="utf-8"?>
<sst xmlns="http://schemas.openxmlformats.org/spreadsheetml/2006/main" count="66" uniqueCount="46">
  <si>
    <t>x_i</t>
  </si>
  <si>
    <t>y_i</t>
  </si>
  <si>
    <t>Tổng</t>
  </si>
  <si>
    <t>Trung Bình</t>
  </si>
  <si>
    <t>Beta1</t>
  </si>
  <si>
    <t>Beta0</t>
  </si>
  <si>
    <t>SSE</t>
  </si>
  <si>
    <t>SST</t>
  </si>
  <si>
    <t>R^2</t>
  </si>
  <si>
    <t>MSE</t>
  </si>
  <si>
    <t>x_i - x ngang</t>
  </si>
  <si>
    <t>y_i - y ngang</t>
  </si>
  <si>
    <t xml:space="preserve">(x_i - x ngang)*(y_i - y ngang) </t>
  </si>
  <si>
    <t>(x_i - x ngang)^2</t>
  </si>
  <si>
    <t>PT Hồi quy</t>
  </si>
  <si>
    <t>y^=2+x</t>
  </si>
  <si>
    <t>y^</t>
  </si>
  <si>
    <t>e=y-y^</t>
  </si>
  <si>
    <t>e^2</t>
  </si>
  <si>
    <t>(y_i - y ngang)^2</t>
  </si>
  <si>
    <t>y^=4.548556+x</t>
  </si>
  <si>
    <t>SUMMARY OUTPUT</t>
  </si>
  <si>
    <t>Regression Statistics</t>
  </si>
  <si>
    <t>Multiple R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</si>
  <si>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</si>
  <si>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</si>
  <si>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</si>
  <si>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</si>
  <si>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</si>
  <si>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</si>
  <si>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</si>
  <si>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</si>
  <si>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</si>
  <si>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</si>
  <si>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</si>
  <si>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</si>
  <si>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</si>
  <si>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</si>
  <si>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</si>
  <si>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</si>
  <si>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</si>
  <si>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</si>
  <si>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</si>
  <si>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Intercept(beta0)</t>
  </si>
  <si>
    <t>R Square(R^2)</t>
  </si>
  <si>
    <t>X Variable 1(beta1)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</si>
</sst>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0" fontId="0" fillId="0" borderId="0" xfId="0" applyFill="1" applyBorder="1" applyAlignment="1"/>
    <xf numFmtId="0" fontId="0" fillId="0" borderId="3" xfId="0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D70B-8BF7-450C-882B-062CC750F415}">
  <dimension ref="A1:K15"/>
  <sheetViews>
    <sheetView workbookViewId="0">
      <selection activeCell="B15" sqref="B15"/>
    </sheetView>
  </sheetViews>
  <sheetFormatPr defaultRowHeight="14.4" x14ac:dyDescent="0.3"/>
  <cols>
    <col min="1" max="1" width="11.44140625" customWidth="1"/>
    <col min="4" max="4" width="15.88671875" customWidth="1"/>
    <col min="5" max="5" width="12.6640625" customWidth="1"/>
    <col min="6" max="6" width="14.5546875" customWidth="1"/>
    <col min="7" max="7" width="24.44140625" customWidth="1"/>
    <col min="8" max="8" width="16.21875" customWidth="1"/>
  </cols>
  <sheetData>
    <row r="1" spans="1:11" x14ac:dyDescent="0.3">
      <c r="B1" s="1" t="s">
        <v>0</v>
      </c>
      <c r="C1" s="1" t="s">
        <v>1</v>
      </c>
      <c r="D1" s="1" t="s">
        <v>10</v>
      </c>
      <c r="E1" s="1" t="s">
        <v>11</v>
      </c>
      <c r="F1" s="1" t="s">
        <v>19</v>
      </c>
      <c r="G1" s="1" t="s">
        <v>12</v>
      </c>
      <c r="H1" s="1" t="s">
        <v>13</v>
      </c>
      <c r="I1" s="1" t="s">
        <v>16</v>
      </c>
      <c r="J1" s="3" t="s">
        <v>17</v>
      </c>
      <c r="K1" s="3" t="s">
        <v>18</v>
      </c>
    </row>
    <row r="2" spans="1:11" x14ac:dyDescent="0.3">
      <c r="B2" s="1">
        <v>2</v>
      </c>
      <c r="C2" s="1">
        <v>4</v>
      </c>
      <c r="D2" s="1">
        <f>B2-$B$8</f>
        <v>-2</v>
      </c>
      <c r="E2" s="1">
        <f>C2-$C$8</f>
        <v>-2</v>
      </c>
      <c r="F2" s="1">
        <f>E2^2</f>
        <v>4</v>
      </c>
      <c r="G2" s="1">
        <f>D2*E2</f>
        <v>4</v>
      </c>
      <c r="H2" s="1">
        <f>D2^2</f>
        <v>4</v>
      </c>
      <c r="I2" s="1">
        <f>2+B2</f>
        <v>4</v>
      </c>
      <c r="J2" s="1">
        <f>C2-I2</f>
        <v>0</v>
      </c>
      <c r="K2" s="1">
        <f>J2^2</f>
        <v>0</v>
      </c>
    </row>
    <row r="3" spans="1:11" x14ac:dyDescent="0.3">
      <c r="B3" s="1">
        <v>3</v>
      </c>
      <c r="C3" s="1">
        <v>5</v>
      </c>
      <c r="D3" s="1">
        <f t="shared" ref="D3:D6" si="0">B3-$B$8</f>
        <v>-1</v>
      </c>
      <c r="E3" s="1">
        <f t="shared" ref="E3:E6" si="1">C3-$C$8</f>
        <v>-1</v>
      </c>
      <c r="F3" s="1">
        <f t="shared" ref="F3:F6" si="2">E3^2</f>
        <v>1</v>
      </c>
      <c r="G3" s="1">
        <f t="shared" ref="G3:G6" si="3">D3*E3</f>
        <v>1</v>
      </c>
      <c r="H3" s="1">
        <f t="shared" ref="H3:H6" si="4">D3^2</f>
        <v>1</v>
      </c>
      <c r="I3" s="1">
        <f t="shared" ref="I3:I6" si="5">2+B3</f>
        <v>5</v>
      </c>
      <c r="J3" s="1">
        <f>C3-I3</f>
        <v>0</v>
      </c>
      <c r="K3" s="1">
        <f t="shared" ref="K3:K6" si="6">J3^2</f>
        <v>0</v>
      </c>
    </row>
    <row r="4" spans="1:11" x14ac:dyDescent="0.3">
      <c r="B4" s="1">
        <v>4</v>
      </c>
      <c r="C4" s="1">
        <v>6</v>
      </c>
      <c r="D4" s="1">
        <f t="shared" si="0"/>
        <v>0</v>
      </c>
      <c r="E4" s="1">
        <f t="shared" si="1"/>
        <v>0</v>
      </c>
      <c r="F4" s="1">
        <f t="shared" si="2"/>
        <v>0</v>
      </c>
      <c r="G4" s="1">
        <f t="shared" si="3"/>
        <v>0</v>
      </c>
      <c r="H4" s="1">
        <f t="shared" si="4"/>
        <v>0</v>
      </c>
      <c r="I4" s="1">
        <f t="shared" si="5"/>
        <v>6</v>
      </c>
      <c r="J4" s="1">
        <f>C4-I4</f>
        <v>0</v>
      </c>
      <c r="K4" s="1">
        <f t="shared" si="6"/>
        <v>0</v>
      </c>
    </row>
    <row r="5" spans="1:11" x14ac:dyDescent="0.3">
      <c r="B5" s="1">
        <v>5</v>
      </c>
      <c r="C5" s="1">
        <v>7</v>
      </c>
      <c r="D5" s="1">
        <f t="shared" si="0"/>
        <v>1</v>
      </c>
      <c r="E5" s="1">
        <f t="shared" si="1"/>
        <v>1</v>
      </c>
      <c r="F5" s="1">
        <f t="shared" si="2"/>
        <v>1</v>
      </c>
      <c r="G5" s="1">
        <f t="shared" si="3"/>
        <v>1</v>
      </c>
      <c r="H5" s="1">
        <f t="shared" si="4"/>
        <v>1</v>
      </c>
      <c r="I5" s="1">
        <f t="shared" si="5"/>
        <v>7</v>
      </c>
      <c r="J5" s="1">
        <f>C5-I5</f>
        <v>0</v>
      </c>
      <c r="K5" s="1">
        <f t="shared" si="6"/>
        <v>0</v>
      </c>
    </row>
    <row r="6" spans="1:11" x14ac:dyDescent="0.3">
      <c r="B6" s="1">
        <v>6</v>
      </c>
      <c r="C6" s="1">
        <v>8</v>
      </c>
      <c r="D6" s="1">
        <f t="shared" si="0"/>
        <v>2</v>
      </c>
      <c r="E6" s="1">
        <f t="shared" si="1"/>
        <v>2</v>
      </c>
      <c r="F6" s="1">
        <f t="shared" si="2"/>
        <v>4</v>
      </c>
      <c r="G6" s="1">
        <f t="shared" si="3"/>
        <v>4</v>
      </c>
      <c r="H6" s="1">
        <f t="shared" si="4"/>
        <v>4</v>
      </c>
      <c r="I6" s="1">
        <f t="shared" si="5"/>
        <v>8</v>
      </c>
      <c r="J6" s="1">
        <f>C6-I6</f>
        <v>0</v>
      </c>
      <c r="K6" s="1">
        <f t="shared" si="6"/>
        <v>0</v>
      </c>
    </row>
    <row r="7" spans="1:11" x14ac:dyDescent="0.3">
      <c r="A7" t="s">
        <v>2</v>
      </c>
      <c r="B7">
        <f>SUM(B2:B6)</f>
        <v>20</v>
      </c>
      <c r="C7">
        <f>SUM(C2:C6)</f>
        <v>30</v>
      </c>
      <c r="G7">
        <f>SUM(G2:G6)</f>
        <v>10</v>
      </c>
      <c r="H7">
        <f>SUM(H2:H6)</f>
        <v>10</v>
      </c>
      <c r="J7" s="4"/>
    </row>
    <row r="8" spans="1:11" x14ac:dyDescent="0.3">
      <c r="A8" t="s">
        <v>3</v>
      </c>
      <c r="B8">
        <f>AVERAGE(B2:B6)</f>
        <v>4</v>
      </c>
      <c r="C8">
        <f>AVERAGE(C2:C6)</f>
        <v>6</v>
      </c>
    </row>
    <row r="9" spans="1:11" x14ac:dyDescent="0.3">
      <c r="A9" t="s">
        <v>4</v>
      </c>
      <c r="B9">
        <f>G7/H7</f>
        <v>1</v>
      </c>
    </row>
    <row r="10" spans="1:11" x14ac:dyDescent="0.3">
      <c r="A10" t="s">
        <v>5</v>
      </c>
      <c r="B10">
        <f>C8-B9*B8</f>
        <v>2</v>
      </c>
    </row>
    <row r="11" spans="1:11" x14ac:dyDescent="0.3">
      <c r="A11" t="s">
        <v>14</v>
      </c>
      <c r="B11" t="s">
        <v>15</v>
      </c>
    </row>
    <row r="12" spans="1:11" x14ac:dyDescent="0.3">
      <c r="A12" t="s">
        <v>6</v>
      </c>
      <c r="B12">
        <f>SUM(K2:K6)</f>
        <v>0</v>
      </c>
    </row>
    <row r="13" spans="1:11" x14ac:dyDescent="0.3">
      <c r="A13" t="s">
        <v>7</v>
      </c>
      <c r="B13">
        <f>SUM(F2:F6)</f>
        <v>10</v>
      </c>
    </row>
    <row r="14" spans="1:11" x14ac:dyDescent="0.3">
      <c r="A14" t="s">
        <v>8</v>
      </c>
      <c r="B14">
        <f>1-(B12/B13)</f>
        <v>1</v>
      </c>
    </row>
    <row r="15" spans="1:11" x14ac:dyDescent="0.3">
      <c r="A15" t="s">
        <v>9</v>
      </c>
      <c r="B15">
        <f>B12/5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9467-5393-4928-A953-6FB38408C6E0}">
  <dimension ref="A1:N38"/>
  <sheetViews>
    <sheetView tabSelected="1" workbookViewId="0">
      <selection activeCell="D32" sqref="D32"/>
    </sheetView>
  </sheetViews>
  <sheetFormatPr defaultRowHeight="14.4" x14ac:dyDescent="0.3"/>
  <cols>
    <col min="1" max="1" width="11.21875" customWidth="1"/>
    <col min="2" max="2" width="14.88671875" customWidth="1"/>
    <col min="4" max="4" width="14.5546875" customWidth="1"/>
    <col min="5" max="5" width="13.6640625" customWidth="1"/>
    <col min="6" max="6" width="19.88671875" customWidth="1"/>
    <col min="7" max="7" width="26.21875" customWidth="1"/>
    <col min="8" max="8" width="15.21875" customWidth="1"/>
    <col min="11" max="11" width="16.44140625" customWidth="1"/>
  </cols>
  <sheetData>
    <row r="1" spans="1:11" x14ac:dyDescent="0.3">
      <c r="B1" s="1" t="s">
        <v>0</v>
      </c>
      <c r="C1" s="1" t="s">
        <v>1</v>
      </c>
      <c r="D1" s="1" t="s">
        <v>10</v>
      </c>
      <c r="E1" s="1" t="s">
        <v>11</v>
      </c>
      <c r="F1" s="1" t="s">
        <v>19</v>
      </c>
      <c r="G1" s="1" t="s">
        <v>12</v>
      </c>
      <c r="H1" s="1" t="s">
        <v>13</v>
      </c>
      <c r="I1" s="1" t="s">
        <v>16</v>
      </c>
      <c r="J1" s="3" t="s">
        <v>17</v>
      </c>
      <c r="K1" s="3" t="s">
        <v>18</v>
      </c>
    </row>
    <row r="2" spans="1:11" x14ac:dyDescent="0.3">
      <c r="B2" s="1">
        <v>8</v>
      </c>
      <c r="C2" s="1">
        <v>8</v>
      </c>
      <c r="D2" s="1">
        <f>B2-$B$13</f>
        <v>-6.6</v>
      </c>
      <c r="E2" s="1">
        <f>C2-$C$13</f>
        <v>-4.5</v>
      </c>
      <c r="F2" s="1">
        <f>E2^2</f>
        <v>20.25</v>
      </c>
      <c r="G2" s="1">
        <f>D2*E2</f>
        <v>29.7</v>
      </c>
      <c r="H2" s="1">
        <f>D2^2</f>
        <v>43.559999999999995</v>
      </c>
      <c r="I2" s="1">
        <f>2+B2</f>
        <v>10</v>
      </c>
      <c r="J2" s="1">
        <f>C2-I2</f>
        <v>-2</v>
      </c>
      <c r="K2" s="1">
        <f>J2^2</f>
        <v>4</v>
      </c>
    </row>
    <row r="3" spans="1:11" x14ac:dyDescent="0.3">
      <c r="B3" s="1">
        <v>10</v>
      </c>
      <c r="C3" s="1">
        <v>11</v>
      </c>
      <c r="D3" s="1">
        <f t="shared" ref="D3:D11" si="0">B3-$B$13</f>
        <v>-4.5999999999999996</v>
      </c>
      <c r="E3" s="1">
        <f t="shared" ref="E3:E11" si="1">C3-$C$13</f>
        <v>-1.5</v>
      </c>
      <c r="F3" s="1">
        <f t="shared" ref="F3:F11" si="2">E3^2</f>
        <v>2.25</v>
      </c>
      <c r="G3" s="1">
        <f t="shared" ref="G3:G11" si="3">D3*E3</f>
        <v>6.8999999999999995</v>
      </c>
      <c r="H3" s="1">
        <f t="shared" ref="H3:H11" si="4">D3^2</f>
        <v>21.159999999999997</v>
      </c>
      <c r="I3" s="1">
        <f t="shared" ref="I3:I11" si="5">2+B3</f>
        <v>12</v>
      </c>
      <c r="J3" s="1">
        <f t="shared" ref="J3:J11" si="6">C3-I3</f>
        <v>-1</v>
      </c>
      <c r="K3" s="1">
        <f t="shared" ref="K3:K11" si="7">J3^2</f>
        <v>1</v>
      </c>
    </row>
    <row r="4" spans="1:11" x14ac:dyDescent="0.3">
      <c r="B4" s="1">
        <v>12</v>
      </c>
      <c r="C4" s="1">
        <v>11</v>
      </c>
      <c r="D4" s="1">
        <f t="shared" si="0"/>
        <v>-2.5999999999999996</v>
      </c>
      <c r="E4" s="1">
        <f t="shared" si="1"/>
        <v>-1.5</v>
      </c>
      <c r="F4" s="1">
        <f t="shared" si="2"/>
        <v>2.25</v>
      </c>
      <c r="G4" s="1">
        <f t="shared" si="3"/>
        <v>3.8999999999999995</v>
      </c>
      <c r="H4" s="1">
        <f t="shared" si="4"/>
        <v>6.759999999999998</v>
      </c>
      <c r="I4" s="1">
        <f t="shared" si="5"/>
        <v>14</v>
      </c>
      <c r="J4" s="1">
        <f t="shared" si="6"/>
        <v>-3</v>
      </c>
      <c r="K4" s="1">
        <f t="shared" si="7"/>
        <v>9</v>
      </c>
    </row>
    <row r="5" spans="1:11" x14ac:dyDescent="0.3">
      <c r="B5" s="1">
        <v>12</v>
      </c>
      <c r="C5" s="1">
        <v>10</v>
      </c>
      <c r="D5" s="1">
        <f t="shared" si="0"/>
        <v>-2.5999999999999996</v>
      </c>
      <c r="E5" s="1">
        <f t="shared" si="1"/>
        <v>-2.5</v>
      </c>
      <c r="F5" s="1">
        <f t="shared" si="2"/>
        <v>6.25</v>
      </c>
      <c r="G5" s="1">
        <f t="shared" si="3"/>
        <v>6.4999999999999991</v>
      </c>
      <c r="H5" s="1">
        <f t="shared" si="4"/>
        <v>6.759999999999998</v>
      </c>
      <c r="I5" s="1">
        <f t="shared" si="5"/>
        <v>14</v>
      </c>
      <c r="J5" s="1">
        <f t="shared" si="6"/>
        <v>-4</v>
      </c>
      <c r="K5" s="1">
        <f t="shared" si="7"/>
        <v>16</v>
      </c>
    </row>
    <row r="6" spans="1:11" x14ac:dyDescent="0.3">
      <c r="B6" s="1">
        <v>14</v>
      </c>
      <c r="C6" s="1">
        <v>14</v>
      </c>
      <c r="D6" s="1">
        <f t="shared" si="0"/>
        <v>-0.59999999999999964</v>
      </c>
      <c r="E6" s="1">
        <f t="shared" si="1"/>
        <v>1.5</v>
      </c>
      <c r="F6" s="1">
        <f t="shared" si="2"/>
        <v>2.25</v>
      </c>
      <c r="G6" s="1">
        <f t="shared" si="3"/>
        <v>-0.89999999999999947</v>
      </c>
      <c r="H6" s="1">
        <f t="shared" si="4"/>
        <v>0.3599999999999996</v>
      </c>
      <c r="I6" s="1">
        <f t="shared" si="5"/>
        <v>16</v>
      </c>
      <c r="J6" s="1">
        <f t="shared" si="6"/>
        <v>-2</v>
      </c>
      <c r="K6" s="1">
        <f t="shared" si="7"/>
        <v>4</v>
      </c>
    </row>
    <row r="7" spans="1:11" x14ac:dyDescent="0.3">
      <c r="B7" s="1">
        <v>16</v>
      </c>
      <c r="C7" s="1">
        <v>15</v>
      </c>
      <c r="D7" s="1">
        <f t="shared" si="0"/>
        <v>1.4000000000000004</v>
      </c>
      <c r="E7" s="1">
        <f t="shared" si="1"/>
        <v>2.5</v>
      </c>
      <c r="F7" s="1">
        <f t="shared" si="2"/>
        <v>6.25</v>
      </c>
      <c r="G7" s="1">
        <f t="shared" si="3"/>
        <v>3.5000000000000009</v>
      </c>
      <c r="H7" s="1">
        <f t="shared" si="4"/>
        <v>1.9600000000000011</v>
      </c>
      <c r="I7" s="1">
        <f t="shared" si="5"/>
        <v>18</v>
      </c>
      <c r="J7" s="1">
        <f t="shared" si="6"/>
        <v>-3</v>
      </c>
      <c r="K7" s="1">
        <f t="shared" si="7"/>
        <v>9</v>
      </c>
    </row>
    <row r="8" spans="1:11" x14ac:dyDescent="0.3">
      <c r="B8" s="1">
        <v>16</v>
      </c>
      <c r="C8" s="1">
        <v>11</v>
      </c>
      <c r="D8" s="1">
        <f t="shared" si="0"/>
        <v>1.4000000000000004</v>
      </c>
      <c r="E8" s="1">
        <f t="shared" si="1"/>
        <v>-1.5</v>
      </c>
      <c r="F8" s="1">
        <f t="shared" si="2"/>
        <v>2.25</v>
      </c>
      <c r="G8" s="1">
        <f t="shared" si="3"/>
        <v>-2.1000000000000005</v>
      </c>
      <c r="H8" s="1">
        <f t="shared" si="4"/>
        <v>1.9600000000000011</v>
      </c>
      <c r="I8" s="1">
        <f t="shared" si="5"/>
        <v>18</v>
      </c>
      <c r="J8" s="1">
        <f t="shared" si="6"/>
        <v>-7</v>
      </c>
      <c r="K8" s="1">
        <f t="shared" si="7"/>
        <v>49</v>
      </c>
    </row>
    <row r="9" spans="1:11" x14ac:dyDescent="0.3">
      <c r="B9" s="1">
        <v>18</v>
      </c>
      <c r="C9" s="1">
        <v>15</v>
      </c>
      <c r="D9" s="1">
        <f t="shared" si="0"/>
        <v>3.4000000000000004</v>
      </c>
      <c r="E9" s="1">
        <f t="shared" si="1"/>
        <v>2.5</v>
      </c>
      <c r="F9" s="1">
        <f t="shared" si="2"/>
        <v>6.25</v>
      </c>
      <c r="G9" s="1">
        <f t="shared" si="3"/>
        <v>8.5</v>
      </c>
      <c r="H9" s="1">
        <f t="shared" si="4"/>
        <v>11.560000000000002</v>
      </c>
      <c r="I9" s="1">
        <f t="shared" si="5"/>
        <v>20</v>
      </c>
      <c r="J9" s="1">
        <f t="shared" si="6"/>
        <v>-5</v>
      </c>
      <c r="K9" s="1">
        <f t="shared" si="7"/>
        <v>25</v>
      </c>
    </row>
    <row r="10" spans="1:11" x14ac:dyDescent="0.3">
      <c r="B10" s="1">
        <v>20</v>
      </c>
      <c r="C10" s="1">
        <v>14</v>
      </c>
      <c r="D10" s="1">
        <f t="shared" si="0"/>
        <v>5.4</v>
      </c>
      <c r="E10" s="1">
        <f t="shared" si="1"/>
        <v>1.5</v>
      </c>
      <c r="F10" s="1">
        <f t="shared" si="2"/>
        <v>2.25</v>
      </c>
      <c r="G10" s="1">
        <f t="shared" si="3"/>
        <v>8.1000000000000014</v>
      </c>
      <c r="H10" s="1">
        <f t="shared" si="4"/>
        <v>29.160000000000004</v>
      </c>
      <c r="I10" s="1">
        <f t="shared" si="5"/>
        <v>22</v>
      </c>
      <c r="J10" s="1">
        <f t="shared" si="6"/>
        <v>-8</v>
      </c>
      <c r="K10" s="1">
        <f t="shared" si="7"/>
        <v>64</v>
      </c>
    </row>
    <row r="11" spans="1:11" x14ac:dyDescent="0.3">
      <c r="B11" s="1">
        <v>20</v>
      </c>
      <c r="C11" s="1">
        <v>16</v>
      </c>
      <c r="D11" s="1">
        <f t="shared" si="0"/>
        <v>5.4</v>
      </c>
      <c r="E11" s="1">
        <f t="shared" si="1"/>
        <v>3.5</v>
      </c>
      <c r="F11" s="1">
        <f t="shared" si="2"/>
        <v>12.25</v>
      </c>
      <c r="G11" s="1">
        <f t="shared" si="3"/>
        <v>18.900000000000002</v>
      </c>
      <c r="H11" s="1">
        <f t="shared" si="4"/>
        <v>29.160000000000004</v>
      </c>
      <c r="I11" s="1">
        <f t="shared" si="5"/>
        <v>22</v>
      </c>
      <c r="J11" s="1">
        <f t="shared" si="6"/>
        <v>-6</v>
      </c>
      <c r="K11" s="1">
        <f t="shared" si="7"/>
        <v>36</v>
      </c>
    </row>
    <row r="12" spans="1:11" x14ac:dyDescent="0.3">
      <c r="A12" t="s">
        <v>2</v>
      </c>
      <c r="B12">
        <f>SUM(B2:B11)</f>
        <v>146</v>
      </c>
      <c r="C12">
        <f>SUM(C2:C11)</f>
        <v>125</v>
      </c>
      <c r="G12" s="2">
        <f>SUM(G2:G11)</f>
        <v>83</v>
      </c>
      <c r="H12" s="2">
        <f>SUM(H2:H11)</f>
        <v>152.4</v>
      </c>
    </row>
    <row r="13" spans="1:11" x14ac:dyDescent="0.3">
      <c r="A13" t="s">
        <v>3</v>
      </c>
      <c r="B13">
        <f>AVERAGE(B2:B11)</f>
        <v>14.6</v>
      </c>
      <c r="C13">
        <f>AVERAGE(C2:C11)</f>
        <v>12.5</v>
      </c>
    </row>
    <row r="14" spans="1:11" x14ac:dyDescent="0.3">
      <c r="A14" t="s">
        <v>4</v>
      </c>
      <c r="B14">
        <f>G12/H12</f>
        <v>0.54461942257217844</v>
      </c>
    </row>
    <row r="15" spans="1:11" x14ac:dyDescent="0.3">
      <c r="A15" t="s">
        <v>5</v>
      </c>
      <c r="B15">
        <f>C13-B14*B13</f>
        <v>4.5485564304461947</v>
      </c>
    </row>
    <row r="16" spans="1:11" x14ac:dyDescent="0.3">
      <c r="A16" t="s">
        <v>14</v>
      </c>
      <c r="B16" t="s">
        <v>20</v>
      </c>
    </row>
    <row r="17" spans="1:11" x14ac:dyDescent="0.3">
      <c r="A17" t="s">
        <v>6</v>
      </c>
      <c r="B17">
        <f>SUM(K2:K11)</f>
        <v>217</v>
      </c>
    </row>
    <row r="18" spans="1:11" x14ac:dyDescent="0.3">
      <c r="A18" t="s">
        <v>7</v>
      </c>
      <c r="B18">
        <f>SUM(F2:F11)</f>
        <v>62.5</v>
      </c>
    </row>
    <row r="19" spans="1:11" x14ac:dyDescent="0.3">
      <c r="A19" t="s">
        <v>8</v>
      </c>
      <c r="B19">
        <f>1-(B18/B17)</f>
        <v>0.71198156682027647</v>
      </c>
    </row>
    <row r="20" spans="1:11" x14ac:dyDescent="0.3">
      <c r="A20" t="s">
        <v>9</v>
      </c>
    </row>
    <row r="21" spans="1:11" x14ac:dyDescent="0.3">
      <c r="F21" t="s">
        <v>21</v>
      </c>
    </row>
    <row r="22" spans="1:11" ht="15" thickBot="1" x14ac:dyDescent="0.35"/>
    <row r="23" spans="1:11" x14ac:dyDescent="0.3">
      <c r="F23" s="8" t="s">
        <v>22</v>
      </c>
      <c r="G23" s="8"/>
    </row>
    <row r="24" spans="1:11" x14ac:dyDescent="0.3">
      <c r="F24" s="5" t="s">
        <v>23</v>
      </c>
      <c r="G24" s="5">
        <v>0.85044376250040965</v>
      </c>
    </row>
    <row r="25" spans="1:11" x14ac:dyDescent="0.3">
      <c r="F25" s="5" t="s">
        <v>44</v>
      </c>
      <c r="G25" s="5">
        <v>0.72325459317585317</v>
      </c>
    </row>
    <row r="26" spans="1:11" x14ac:dyDescent="0.3">
      <c r="F26" s="5" t="s">
        <v>24</v>
      </c>
      <c r="G26" s="5">
        <v>0.68866141732283481</v>
      </c>
    </row>
    <row r="27" spans="1:11" x14ac:dyDescent="0.3">
      <c r="F27" s="5" t="s">
        <v>25</v>
      </c>
      <c r="G27" s="5">
        <v>1.4703990923601822</v>
      </c>
    </row>
    <row r="28" spans="1:11" ht="15" thickBot="1" x14ac:dyDescent="0.35">
      <c r="F28" s="6" t="s">
        <v>26</v>
      </c>
      <c r="G28" s="6">
        <v>10</v>
      </c>
    </row>
    <row r="30" spans="1:11" ht="15" thickBot="1" x14ac:dyDescent="0.35">
      <c r="F30" t="s">
        <v>27</v>
      </c>
    </row>
    <row r="31" spans="1:11" x14ac:dyDescent="0.3">
      <c r="F31" s="7"/>
      <c r="G31" s="7" t="s">
        <v>31</v>
      </c>
      <c r="H31" s="7" t="s">
        <v>32</v>
      </c>
      <c r="I31" s="7" t="s">
        <v>33</v>
      </c>
      <c r="J31" s="7" t="s">
        <v>34</v>
      </c>
      <c r="K31" s="7" t="s">
        <v>35</v>
      </c>
    </row>
    <row r="32" spans="1:11" x14ac:dyDescent="0.3">
      <c r="F32" s="5" t="s">
        <v>28</v>
      </c>
      <c r="G32" s="5">
        <v>1</v>
      </c>
      <c r="H32" s="5">
        <v>45.203412073490824</v>
      </c>
      <c r="I32" s="5">
        <v>45.203412073490824</v>
      </c>
      <c r="J32" s="5">
        <v>20.907435508345991</v>
      </c>
      <c r="K32" s="5">
        <v>1.8198956154753417E-3</v>
      </c>
    </row>
    <row r="33" spans="6:14" x14ac:dyDescent="0.3">
      <c r="F33" s="5" t="s">
        <v>29</v>
      </c>
      <c r="G33" s="5">
        <v>8</v>
      </c>
      <c r="H33" s="5">
        <v>17.296587926509179</v>
      </c>
      <c r="I33" s="5">
        <v>2.1620734908136474</v>
      </c>
      <c r="J33" s="5"/>
      <c r="K33" s="5"/>
    </row>
    <row r="34" spans="6:14" ht="15" thickBot="1" x14ac:dyDescent="0.35">
      <c r="F34" s="6" t="s">
        <v>30</v>
      </c>
      <c r="G34" s="6">
        <v>9</v>
      </c>
      <c r="H34" s="6">
        <v>62.5</v>
      </c>
      <c r="I34" s="6"/>
      <c r="J34" s="6"/>
      <c r="K34" s="6"/>
    </row>
    <row r="35" spans="6:14" ht="15" thickBot="1" x14ac:dyDescent="0.35"/>
    <row r="36" spans="6:14" x14ac:dyDescent="0.3">
      <c r="F36" s="7"/>
      <c r="G36" s="7" t="s">
        <v>36</v>
      </c>
      <c r="H36" s="7" t="s">
        <v>25</v>
      </c>
      <c r="I36" s="7" t="s">
        <v>37</v>
      </c>
      <c r="J36" s="7" t="s">
        <v>38</v>
      </c>
      <c r="K36" s="7" t="s">
        <v>39</v>
      </c>
      <c r="L36" s="7" t="s">
        <v>40</v>
      </c>
      <c r="M36" s="7" t="s">
        <v>41</v>
      </c>
      <c r="N36" s="7" t="s">
        <v>42</v>
      </c>
    </row>
    <row r="37" spans="6:14" x14ac:dyDescent="0.3">
      <c r="F37" s="5" t="s">
        <v>43</v>
      </c>
      <c r="G37" s="5">
        <v>4.5485564304461947</v>
      </c>
      <c r="H37" s="5">
        <v>1.8000757954693531</v>
      </c>
      <c r="I37" s="5">
        <v>2.526869391774806</v>
      </c>
      <c r="J37" s="5">
        <v>3.542772676682393E-2</v>
      </c>
      <c r="K37" s="5">
        <v>0.39757420241293584</v>
      </c>
      <c r="L37" s="5">
        <v>8.6995386584794545</v>
      </c>
      <c r="M37" s="5">
        <v>0.39757420241293584</v>
      </c>
      <c r="N37" s="5">
        <v>8.6995386584794545</v>
      </c>
    </row>
    <row r="38" spans="6:14" ht="15" thickBot="1" x14ac:dyDescent="0.35">
      <c r="F38" s="6" t="s">
        <v>45</v>
      </c>
      <c r="G38" s="6">
        <v>0.54461942257217844</v>
      </c>
      <c r="H38" s="6">
        <v>0.11910849646109804</v>
      </c>
      <c r="I38" s="6">
        <v>4.5724649269672906</v>
      </c>
      <c r="J38" s="6">
        <v>1.8198956154753417E-3</v>
      </c>
      <c r="K38" s="6">
        <v>0.26995473719493546</v>
      </c>
      <c r="L38" s="6">
        <v>0.81928410794942141</v>
      </c>
      <c r="M38" s="6">
        <v>0.26995473719493546</v>
      </c>
      <c r="N38" s="6">
        <v>0.81928410794942141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2026-01-17T07:33:37Z</dcterms:created>
  <dcterms:modified xsi:type="dcterms:W3CDTF">2026-01-17T10:02:16Z</dcterms:modified>
</cp:coreProperties>
</file>