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1581474fb3674/Máy tính/Subject/XSTK/"/>
    </mc:Choice>
  </mc:AlternateContent>
  <xr:revisionPtr revIDLastSave="0" documentId="8_{C78C09A6-6327-46BA-BD2C-AF33382A10B8}" xr6:coauthVersionLast="45" xr6:coauthVersionMax="45" xr10:uidLastSave="{00000000-0000-0000-0000-000000000000}"/>
  <bookViews>
    <workbookView xWindow="-108" yWindow="-108" windowWidth="23256" windowHeight="12456" xr2:uid="{8EC31A6F-48BA-4F6F-9FD1-E310B525A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2" i="1"/>
  <c r="B21" i="1"/>
  <c r="B19" i="1"/>
  <c r="B18" i="1"/>
  <c r="B16" i="1"/>
  <c r="B15" i="1"/>
  <c r="B13" i="1"/>
  <c r="B12" i="1"/>
  <c r="B10" i="1"/>
  <c r="B9" i="1"/>
  <c r="B7" i="1"/>
  <c r="B6" i="1"/>
  <c r="B2" i="1"/>
  <c r="B3" i="1"/>
</calcChain>
</file>

<file path=xl/sharedStrings.xml><?xml version="1.0" encoding="utf-8"?>
<sst xmlns="http://schemas.openxmlformats.org/spreadsheetml/2006/main" count="8" uniqueCount="8">
  <si>
    <t>Bài 1:</t>
  </si>
  <si>
    <t>Bài 2:</t>
  </si>
  <si>
    <t>Bài 3:</t>
  </si>
  <si>
    <t>Bài 4:</t>
  </si>
  <si>
    <t>Bài 5:</t>
  </si>
  <si>
    <t>Bài 6:</t>
  </si>
  <si>
    <t>Bài 7:</t>
  </si>
  <si>
    <t>Bài 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</si>
</sst>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40294-A38A-4C6C-BBB6-E35F0DF84C23}">
  <dimension ref="A1:B25"/>
  <sheetViews>
    <sheetView tabSelected="1" workbookViewId="0">
      <selection activeCell="B26" sqref="B26"/>
    </sheetView>
  </sheetViews>
  <sheetFormatPr defaultRowHeight="14.4" x14ac:dyDescent="0.3"/>
  <cols>
    <col min="2" max="2" width="12" bestFit="1" customWidth="1"/>
  </cols>
  <sheetData>
    <row r="1" spans="1:2" x14ac:dyDescent="0.3">
      <c r="A1" t="s">
        <v>0</v>
      </c>
    </row>
    <row r="2" spans="1:2" x14ac:dyDescent="0.3">
      <c r="A2">
        <v>1.1000000000000001</v>
      </c>
      <c r="B2">
        <f>_xlfn.BINOM.DIST(8,12,0.7,FALSE)</f>
        <v>0.23113969609500007</v>
      </c>
    </row>
    <row r="3" spans="1:2" x14ac:dyDescent="0.3">
      <c r="A3">
        <v>1.2</v>
      </c>
      <c r="B3">
        <f>_xlfn.BINOM.DIST(9,12,0.7,TRUE)</f>
        <v>0.74718465214500007</v>
      </c>
    </row>
    <row r="5" spans="1:2" x14ac:dyDescent="0.3">
      <c r="A5" t="s">
        <v>1</v>
      </c>
    </row>
    <row r="6" spans="1:2" x14ac:dyDescent="0.3">
      <c r="A6">
        <v>2.1</v>
      </c>
      <c r="B6" s="1">
        <f>_xlfn.POISSON.DIST(3,2.5,FALSE)</f>
        <v>0.21376301724973648</v>
      </c>
    </row>
    <row r="7" spans="1:2" x14ac:dyDescent="0.3">
      <c r="A7">
        <v>2.2000000000000002</v>
      </c>
      <c r="B7">
        <f>_xlfn.POISSON.DIST(2,2.5,TRUE)</f>
        <v>0.54381311588332959</v>
      </c>
    </row>
    <row r="8" spans="1:2" x14ac:dyDescent="0.3">
      <c r="A8" t="s">
        <v>2</v>
      </c>
    </row>
    <row r="9" spans="1:2" x14ac:dyDescent="0.3">
      <c r="A9">
        <v>3.1</v>
      </c>
      <c r="B9">
        <f>_xlfn.NORM.DIST(1300,1200,100,TRUE)</f>
        <v>0.84134474606854304</v>
      </c>
    </row>
    <row r="10" spans="1:2" x14ac:dyDescent="0.3">
      <c r="A10">
        <v>3.2</v>
      </c>
      <c r="B10">
        <f>_xlfn.NORM.DIST(1250,1200,100,TRUE)-_xlfn.NORM.DIST(1100,1200,100,TRUE)</f>
        <v>0.53280720734255616</v>
      </c>
    </row>
    <row r="11" spans="1:2" x14ac:dyDescent="0.3">
      <c r="A11" t="s">
        <v>3</v>
      </c>
    </row>
    <row r="12" spans="1:2" x14ac:dyDescent="0.3">
      <c r="A12">
        <v>4.0999999999999996</v>
      </c>
      <c r="B12">
        <f>_xlfn.NORM.S.DIST(1.4,TRUE)</f>
        <v>0.91924334076622893</v>
      </c>
    </row>
    <row r="13" spans="1:2" x14ac:dyDescent="0.3">
      <c r="A13">
        <v>4.2</v>
      </c>
      <c r="B13">
        <f>_xlfn.NORM.S.INV(0.975)</f>
        <v>1.9599639845400536</v>
      </c>
    </row>
    <row r="14" spans="1:2" x14ac:dyDescent="0.3">
      <c r="A14" t="s">
        <v>4</v>
      </c>
    </row>
    <row r="15" spans="1:2" x14ac:dyDescent="0.3">
      <c r="A15">
        <v>5.0999999999999996</v>
      </c>
      <c r="B15">
        <f>_xlfn.T.DIST(2.12,15,TRUE)</f>
        <v>0.97445349581525154</v>
      </c>
    </row>
    <row r="16" spans="1:2" x14ac:dyDescent="0.3">
      <c r="A16">
        <v>5.2</v>
      </c>
      <c r="B16">
        <f>_xlfn.T.INV(0.95,16)</f>
        <v>1.7458836762762506</v>
      </c>
    </row>
    <row r="17" spans="1:2" x14ac:dyDescent="0.3">
      <c r="A17" t="s">
        <v>5</v>
      </c>
    </row>
    <row r="18" spans="1:2" x14ac:dyDescent="0.3">
      <c r="A18">
        <v>6.1</v>
      </c>
      <c r="B18">
        <f>(6-4)/(14-4)</f>
        <v>0.2</v>
      </c>
    </row>
    <row r="19" spans="1:2" x14ac:dyDescent="0.3">
      <c r="A19">
        <v>6.2</v>
      </c>
      <c r="B19">
        <f>(12-8)/(14-4)</f>
        <v>0.4</v>
      </c>
    </row>
    <row r="20" spans="1:2" x14ac:dyDescent="0.3">
      <c r="A20" t="s">
        <v>6</v>
      </c>
    </row>
    <row r="21" spans="1:2" x14ac:dyDescent="0.3">
      <c r="A21">
        <v>7.1</v>
      </c>
      <c r="B21">
        <f>_xlfn.CHISQ.DIST(10.64,6,TRUE)</f>
        <v>0.89983945993987757</v>
      </c>
    </row>
    <row r="22" spans="1:2" x14ac:dyDescent="0.3">
      <c r="A22">
        <v>7.2</v>
      </c>
      <c r="B22">
        <f>_xlfn.CHISQ.INV(0.95,6)</f>
        <v>12.591587243743977</v>
      </c>
    </row>
    <row r="23" spans="1:2" x14ac:dyDescent="0.3">
      <c r="A23" t="s">
        <v>7</v>
      </c>
    </row>
    <row r="24" spans="1:2" x14ac:dyDescent="0.3">
      <c r="A24">
        <v>8.1</v>
      </c>
      <c r="B24">
        <f>_xlfn.F.DIST(3.12,4,9,TRUE)</f>
        <v>0.92789119547700227</v>
      </c>
    </row>
    <row r="25" spans="1:2" x14ac:dyDescent="0.3">
      <c r="A25">
        <v>8.1999999999999993</v>
      </c>
      <c r="B25">
        <f>_xlfn.F.INV(0.95,4,9)</f>
        <v>3.6330885114190798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2025-12-20T03:46:25Z</dcterms:created>
  <dcterms:modified xsi:type="dcterms:W3CDTF">2025-12-20T04:20:56Z</dcterms:modified>
</cp:coreProperties>
</file>